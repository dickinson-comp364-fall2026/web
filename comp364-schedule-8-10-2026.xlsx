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64-web\"/>
    </mc:Choice>
  </mc:AlternateContent>
  <xr:revisionPtr revIDLastSave="0" documentId="13_ncr:1_{5CF48C02-6012-4BE8-9B03-4C393512E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9" i="2" l="1"/>
  <c r="A21" i="2" s="1"/>
  <c r="A23" i="2" s="1"/>
  <c r="A25" i="2" s="1"/>
  <c r="A28" i="2" s="1"/>
  <c r="A30" i="2" s="1"/>
  <c r="A4" i="2"/>
  <c r="A6" i="2" s="1"/>
  <c r="A8" i="2" s="1"/>
  <c r="A10" i="2" s="1"/>
  <c r="A12" i="2" s="1"/>
  <c r="A14" i="2" s="1"/>
  <c r="C4" i="2"/>
  <c r="C6" i="2" s="1"/>
  <c r="C8" i="2" s="1"/>
  <c r="C10" i="2" s="1"/>
  <c r="C12" i="2" s="1"/>
  <c r="C14" i="2" s="1"/>
  <c r="C16" i="2" s="1"/>
  <c r="C18" i="2" s="1"/>
  <c r="C20" i="2" s="1"/>
  <c r="C22" i="2" s="1"/>
  <c r="C24" i="2" s="1"/>
  <c r="C26" i="2" s="1"/>
  <c r="C28" i="2" s="1"/>
  <c r="C30" i="2" s="1"/>
  <c r="B5" i="2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4" i="2"/>
  <c r="B6" i="2" s="1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C3" i="2"/>
  <c r="C5" i="2" s="1"/>
  <c r="C7" i="2" s="1"/>
  <c r="C9" i="2" s="1"/>
  <c r="C11" i="2" s="1"/>
  <c r="C13" i="2" s="1"/>
  <c r="C15" i="2" s="1"/>
  <c r="C17" i="2" s="1"/>
  <c r="C19" i="2" s="1"/>
  <c r="C21" i="2" s="1"/>
  <c r="C23" i="2" s="1"/>
  <c r="C25" i="2" s="1"/>
  <c r="C27" i="2" s="1"/>
  <c r="C29" i="2" s="1"/>
  <c r="C31" i="2" s="1"/>
</calcChain>
</file>

<file path=xl/sharedStrings.xml><?xml version="1.0" encoding="utf-8"?>
<sst xmlns="http://schemas.openxmlformats.org/spreadsheetml/2006/main" count="75" uniqueCount="72">
  <si>
    <t>Class number</t>
  </si>
  <si>
    <t>Day</t>
  </si>
  <si>
    <t>Date</t>
  </si>
  <si>
    <t>Tue</t>
  </si>
  <si>
    <t>topic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</si>
  <si>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</si>
  <si>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</si>
  <si>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</si>
  <si>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</si>
  <si>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</si>
  <si>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</si>
  <si>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</si>
  <si>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</si>
  <si>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</si>
  <si>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</si>
  <si>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</si>
  <si>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</si>
  <si>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</si>
  <si>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</si>
  <si>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</si>
  <si>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</si>
  <si>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</si>
  <si>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</si>
  <si>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</si>
  <si>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</si>
  <si>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</si>
  <si>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</si>
  <si>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</si>
  <si>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</si>
  <si>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</si>
  <si>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</si>
  <si>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</si>
  <si>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</si>
  <si>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</si>
  <si>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</si>
  <si>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</si>
  <si>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</si>
  <si>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</si>
  <si>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</si>
  <si>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12/18, 2pm-5pm</t>
  </si>
  <si>
    <t>exam review</t>
  </si>
  <si>
    <t xml:space="preserve">4. Convolutional neural networks </t>
  </si>
  <si>
    <t xml:space="preserve">5. Reinforcement learning </t>
  </si>
  <si>
    <t>Required reading</t>
  </si>
  <si>
    <t>HW1</t>
  </si>
  <si>
    <t>HW2</t>
  </si>
  <si>
    <t>HW3</t>
  </si>
  <si>
    <r>
      <t xml:space="preserve">2. Elementary classifiers: </t>
    </r>
    <r>
      <rPr>
        <sz val="8"/>
        <color theme="1"/>
        <rFont val="Calibri"/>
        <family val="2"/>
        <scheme val="minor"/>
      </rPr>
      <t>nearest neighbor and decision tree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</si>
  <si>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3. Neural networks </t>
    </r>
    <r>
      <rPr>
        <sz val="9"/>
        <color theme="1"/>
        <rFont val="Calibri"/>
        <family val="2"/>
        <scheme val="minor"/>
      </rPr>
      <t>and backpropagation</t>
    </r>
    <r>
      <rPr>
        <sz val="11"/>
        <color theme="1"/>
        <rFont val="Calibri"/>
        <family val="2"/>
        <scheme val="minor"/>
      </rPr>
      <t xml:space="preserve"> </t>
    </r>
  </si>
  <si>
    <t>1. Classical search</t>
  </si>
  <si>
    <t>8. Final project</t>
  </si>
  <si>
    <t>ThinkingAI5-7</t>
  </si>
  <si>
    <t>ThinkingAI8-10</t>
  </si>
  <si>
    <t>ThinkingAI1-4 + Turing1950</t>
  </si>
  <si>
    <t>homework due + quizzes</t>
  </si>
  <si>
    <t>Q1</t>
  </si>
  <si>
    <t>Q2</t>
  </si>
  <si>
    <t>Q3</t>
  </si>
  <si>
    <t>ThinkingAI11 + searle1980</t>
  </si>
  <si>
    <t>ThinkingAI12-14</t>
  </si>
  <si>
    <t>[final project]</t>
  </si>
  <si>
    <t>final presentations/posters</t>
  </si>
  <si>
    <t xml:space="preserve">Special topic: AI and sustainability </t>
  </si>
  <si>
    <r>
      <t xml:space="preserve">SP </t>
    </r>
    <r>
      <rPr>
        <sz val="9"/>
        <color theme="1"/>
        <rFont val="Calibri"/>
        <family val="2"/>
        <scheme val="minor"/>
      </rPr>
      <t>(sustainability poster in class)</t>
    </r>
  </si>
  <si>
    <t>Q4</t>
  </si>
  <si>
    <t>HW4</t>
  </si>
  <si>
    <t xml:space="preserve">6. Transformers and large language models </t>
  </si>
  <si>
    <t>HW5&amp;6</t>
  </si>
  <si>
    <t>Q5&amp;6</t>
  </si>
  <si>
    <t>FP1</t>
  </si>
  <si>
    <t>FP2</t>
  </si>
  <si>
    <t>FP3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</si>
</sst>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5"/>
  <sheetViews>
    <sheetView tabSelected="1" zoomScale="150" zoomScaleNormal="150" zoomScalePageLayoutView="60" workbookViewId="0">
      <pane ySplit="1" topLeftCell="A19" activePane="bottomLeft" state="frozen"/>
      <selection pane="bottomLeft" activeCell="A25" sqref="A25"/>
    </sheetView>
  </sheetViews>
  <sheetFormatPr defaultRowHeight="15" x14ac:dyDescent="0.25"/>
  <cols>
    <col min="1" max="1" width="6.140625" style="9" customWidth="1"/>
    <col min="2" max="2" width="5.140625" style="23" customWidth="1"/>
    <col min="3" max="3" width="6.42578125" style="18" customWidth="1"/>
    <col min="4" max="4" width="21.28515625" style="8" customWidth="1"/>
    <col min="5" max="5" width="7.5703125" style="9" customWidth="1"/>
    <col min="6" max="6" width="11.7109375" style="9" customWidth="1"/>
    <col min="7" max="7" width="25.28515625" style="18" customWidth="1"/>
    <col min="8" max="8" width="37.85546875" customWidth="1"/>
  </cols>
  <sheetData>
    <row r="1" spans="1:8" s="7" customFormat="1" ht="36" x14ac:dyDescent="0.25">
      <c r="A1" s="2" t="s">
        <v>33</v>
      </c>
      <c r="B1" s="3" t="s">
        <v>1</v>
      </c>
      <c r="C1" s="4" t="s">
        <v>2</v>
      </c>
      <c r="D1" s="34" t="s">
        <v>4</v>
      </c>
      <c r="E1" s="1" t="s">
        <v>0</v>
      </c>
      <c r="F1" s="25" t="s">
        <v>54</v>
      </c>
      <c r="G1" s="5" t="s">
        <v>43</v>
      </c>
      <c r="H1"/>
    </row>
    <row r="2" spans="1:8" x14ac:dyDescent="0.25">
      <c r="A2" s="11">
        <v>1</v>
      </c>
      <c r="B2" s="21" t="s">
        <v>3</v>
      </c>
      <c r="C2" s="19">
        <v>46266</v>
      </c>
      <c r="D2" s="39" t="s">
        <v>49</v>
      </c>
      <c r="E2" s="6" t="s">
        <v>5</v>
      </c>
      <c r="F2" s="11"/>
      <c r="G2" s="15"/>
    </row>
    <row r="3" spans="1:8" x14ac:dyDescent="0.25">
      <c r="A3" s="11"/>
      <c r="B3" s="21" t="s">
        <v>36</v>
      </c>
      <c r="C3" s="19">
        <f>C2+3</f>
        <v>46269</v>
      </c>
      <c r="D3" s="39"/>
      <c r="E3" s="6" t="s">
        <v>6</v>
      </c>
      <c r="F3" s="11"/>
      <c r="G3" s="16"/>
    </row>
    <row r="4" spans="1:8" x14ac:dyDescent="0.25">
      <c r="A4" s="11">
        <f>A2+1</f>
        <v>2</v>
      </c>
      <c r="B4" s="21" t="str">
        <f>B2</f>
        <v>Tue</v>
      </c>
      <c r="C4" s="19">
        <f>C2+7</f>
        <v>46273</v>
      </c>
      <c r="D4" s="39"/>
      <c r="E4" s="6" t="s">
        <v>7</v>
      </c>
      <c r="F4" s="11"/>
      <c r="G4" s="15"/>
    </row>
    <row r="5" spans="1:8" ht="20.25" customHeight="1" x14ac:dyDescent="0.25">
      <c r="A5" s="11"/>
      <c r="B5" s="21" t="str">
        <f>B3</f>
        <v>Fri</v>
      </c>
      <c r="C5" s="19">
        <f>C3+7</f>
        <v>46276</v>
      </c>
      <c r="D5" s="39" t="s">
        <v>47</v>
      </c>
      <c r="E5" s="6" t="s">
        <v>8</v>
      </c>
      <c r="F5" s="11" t="s">
        <v>55</v>
      </c>
      <c r="G5" s="16"/>
    </row>
    <row r="6" spans="1:8" ht="21" customHeight="1" x14ac:dyDescent="0.25">
      <c r="A6" s="11">
        <f t="shared" ref="A6" si="0">A4+1</f>
        <v>3</v>
      </c>
      <c r="B6" s="21" t="str">
        <f t="shared" ref="B6:B31" si="1">B4</f>
        <v>Tue</v>
      </c>
      <c r="C6" s="19">
        <f t="shared" ref="C6:C31" si="2">C4+7</f>
        <v>46280</v>
      </c>
      <c r="D6" s="39"/>
      <c r="E6" s="6" t="s">
        <v>9</v>
      </c>
      <c r="F6" s="11" t="s">
        <v>44</v>
      </c>
      <c r="G6" s="16"/>
    </row>
    <row r="7" spans="1:8" ht="30" x14ac:dyDescent="0.25">
      <c r="A7" s="11"/>
      <c r="B7" s="21" t="str">
        <f t="shared" si="1"/>
        <v>Fri</v>
      </c>
      <c r="C7" s="19">
        <f t="shared" si="2"/>
        <v>46283</v>
      </c>
      <c r="D7" s="35" t="s">
        <v>53</v>
      </c>
      <c r="E7" s="6" t="s">
        <v>10</v>
      </c>
      <c r="F7" s="11"/>
      <c r="G7" s="15"/>
    </row>
    <row r="8" spans="1:8" ht="15" customHeight="1" x14ac:dyDescent="0.25">
      <c r="A8" s="11">
        <f t="shared" ref="A8" si="3">A6+1</f>
        <v>4</v>
      </c>
      <c r="B8" s="21" t="str">
        <f t="shared" si="1"/>
        <v>Tue</v>
      </c>
      <c r="C8" s="19">
        <f t="shared" si="2"/>
        <v>46287</v>
      </c>
      <c r="D8" s="39" t="s">
        <v>48</v>
      </c>
      <c r="E8" s="6" t="s">
        <v>11</v>
      </c>
      <c r="F8" s="11" t="s">
        <v>56</v>
      </c>
      <c r="G8" s="26"/>
    </row>
    <row r="9" spans="1:8" x14ac:dyDescent="0.25">
      <c r="A9" s="11"/>
      <c r="B9" s="21" t="str">
        <f t="shared" si="1"/>
        <v>Fri</v>
      </c>
      <c r="C9" s="19">
        <f t="shared" si="2"/>
        <v>46290</v>
      </c>
      <c r="D9" s="39"/>
      <c r="E9" s="6" t="s">
        <v>12</v>
      </c>
      <c r="F9" s="11" t="s">
        <v>45</v>
      </c>
      <c r="G9" s="26"/>
    </row>
    <row r="10" spans="1:8" ht="15" customHeight="1" x14ac:dyDescent="0.25">
      <c r="A10" s="11">
        <f t="shared" ref="A10" si="4">A8+1</f>
        <v>5</v>
      </c>
      <c r="B10" s="21" t="str">
        <f t="shared" si="1"/>
        <v>Tue</v>
      </c>
      <c r="C10" s="19">
        <f t="shared" si="2"/>
        <v>46294</v>
      </c>
      <c r="D10" s="39" t="s">
        <v>62</v>
      </c>
      <c r="E10" s="6" t="s">
        <v>13</v>
      </c>
      <c r="G10" s="26"/>
    </row>
    <row r="11" spans="1:8" x14ac:dyDescent="0.25">
      <c r="A11" s="11"/>
      <c r="B11" s="21" t="str">
        <f t="shared" si="1"/>
        <v>Fri</v>
      </c>
      <c r="C11" s="19">
        <f t="shared" si="2"/>
        <v>46297</v>
      </c>
      <c r="D11" s="39"/>
      <c r="E11" s="6" t="s">
        <v>14</v>
      </c>
      <c r="F11" s="11" t="s">
        <v>57</v>
      </c>
      <c r="G11" s="26"/>
    </row>
    <row r="12" spans="1:8" ht="38.25" customHeight="1" x14ac:dyDescent="0.25">
      <c r="A12" s="11">
        <f t="shared" ref="A12" si="5">A10+1</f>
        <v>6</v>
      </c>
      <c r="B12" s="21" t="str">
        <f t="shared" si="1"/>
        <v>Tue</v>
      </c>
      <c r="C12" s="19">
        <f t="shared" si="2"/>
        <v>46301</v>
      </c>
      <c r="D12" s="39"/>
      <c r="E12" s="6" t="s">
        <v>15</v>
      </c>
      <c r="F12" s="31" t="s">
        <v>63</v>
      </c>
      <c r="G12" s="15"/>
    </row>
    <row r="13" spans="1:8" x14ac:dyDescent="0.25">
      <c r="A13" s="11"/>
      <c r="B13" s="21" t="str">
        <f t="shared" si="1"/>
        <v>Fri</v>
      </c>
      <c r="C13" s="19">
        <f t="shared" si="2"/>
        <v>46304</v>
      </c>
      <c r="D13" s="36" t="s">
        <v>40</v>
      </c>
      <c r="E13" s="6" t="s">
        <v>16</v>
      </c>
      <c r="F13" s="11" t="s">
        <v>46</v>
      </c>
      <c r="G13" s="15"/>
    </row>
    <row r="14" spans="1:8" x14ac:dyDescent="0.25">
      <c r="A14" s="11">
        <f t="shared" ref="A14" si="6">A12+1</f>
        <v>7</v>
      </c>
      <c r="B14" s="21" t="str">
        <f t="shared" si="1"/>
        <v>Tue</v>
      </c>
      <c r="C14" s="19">
        <f t="shared" si="2"/>
        <v>46308</v>
      </c>
      <c r="D14" s="37" t="s">
        <v>34</v>
      </c>
      <c r="E14" s="6" t="s">
        <v>17</v>
      </c>
      <c r="F14" s="11"/>
      <c r="G14" s="16"/>
    </row>
    <row r="15" spans="1:8" x14ac:dyDescent="0.25">
      <c r="A15" s="11"/>
      <c r="B15" s="21" t="str">
        <f t="shared" si="1"/>
        <v>Fri</v>
      </c>
      <c r="C15" s="19">
        <f t="shared" si="2"/>
        <v>46311</v>
      </c>
      <c r="D15" s="35" t="s">
        <v>51</v>
      </c>
      <c r="E15" s="6" t="s">
        <v>18</v>
      </c>
      <c r="F15" s="11"/>
      <c r="G15" s="15"/>
    </row>
    <row r="16" spans="1:8" x14ac:dyDescent="0.25">
      <c r="A16" s="11"/>
      <c r="B16" s="21" t="str">
        <f t="shared" si="1"/>
        <v>Tue</v>
      </c>
      <c r="C16" s="19">
        <f t="shared" si="2"/>
        <v>46315</v>
      </c>
      <c r="D16" s="38" t="s">
        <v>37</v>
      </c>
      <c r="E16" s="10"/>
      <c r="F16" s="27"/>
      <c r="G16" s="17"/>
    </row>
    <row r="17" spans="1:8" ht="15" customHeight="1" x14ac:dyDescent="0.25">
      <c r="A17" s="11">
        <v>8</v>
      </c>
      <c r="B17" s="21" t="str">
        <f t="shared" si="1"/>
        <v>Fri</v>
      </c>
      <c r="C17" s="19">
        <f t="shared" si="2"/>
        <v>46318</v>
      </c>
      <c r="D17" s="39" t="s">
        <v>41</v>
      </c>
      <c r="E17" s="6" t="s">
        <v>19</v>
      </c>
      <c r="F17" s="11"/>
      <c r="G17" s="16"/>
    </row>
    <row r="18" spans="1:8" x14ac:dyDescent="0.25">
      <c r="A18" s="11"/>
      <c r="B18" s="21" t="str">
        <f t="shared" si="1"/>
        <v>Tue</v>
      </c>
      <c r="C18" s="19">
        <f t="shared" si="2"/>
        <v>46322</v>
      </c>
      <c r="D18" s="39"/>
      <c r="E18" s="6" t="s">
        <v>20</v>
      </c>
      <c r="F18" s="11"/>
      <c r="G18" s="16"/>
    </row>
    <row r="19" spans="1:8" x14ac:dyDescent="0.25">
      <c r="A19" s="11">
        <f>A17+1</f>
        <v>9</v>
      </c>
      <c r="B19" s="21" t="str">
        <f t="shared" si="1"/>
        <v>Fri</v>
      </c>
      <c r="C19" s="19">
        <f t="shared" si="2"/>
        <v>46325</v>
      </c>
      <c r="D19" s="39"/>
      <c r="E19" s="6" t="s">
        <v>21</v>
      </c>
      <c r="F19" s="11"/>
      <c r="G19" s="16"/>
    </row>
    <row r="20" spans="1:8" x14ac:dyDescent="0.25">
      <c r="A20" s="11"/>
      <c r="B20" s="21" t="str">
        <f t="shared" si="1"/>
        <v>Tue</v>
      </c>
      <c r="C20" s="19">
        <f t="shared" si="2"/>
        <v>46329</v>
      </c>
      <c r="D20" s="35" t="s">
        <v>52</v>
      </c>
      <c r="E20" s="6" t="s">
        <v>22</v>
      </c>
      <c r="F20" s="32"/>
      <c r="G20" s="16"/>
    </row>
    <row r="21" spans="1:8" ht="30" x14ac:dyDescent="0.25">
      <c r="A21" s="11">
        <f t="shared" ref="A21" si="7">A19+1</f>
        <v>10</v>
      </c>
      <c r="B21" s="21" t="str">
        <f t="shared" si="1"/>
        <v>Fri</v>
      </c>
      <c r="C21" s="19">
        <f t="shared" si="2"/>
        <v>46332</v>
      </c>
      <c r="D21" s="33" t="s">
        <v>42</v>
      </c>
      <c r="E21" s="6" t="s">
        <v>23</v>
      </c>
      <c r="F21" s="11" t="s">
        <v>64</v>
      </c>
      <c r="G21" s="15"/>
    </row>
    <row r="22" spans="1:8" x14ac:dyDescent="0.25">
      <c r="A22" s="11"/>
      <c r="B22" s="21" t="str">
        <f t="shared" si="1"/>
        <v>Tue</v>
      </c>
      <c r="C22" s="19">
        <f t="shared" si="2"/>
        <v>46336</v>
      </c>
      <c r="D22" s="39" t="s">
        <v>66</v>
      </c>
      <c r="E22" s="6" t="s">
        <v>24</v>
      </c>
      <c r="F22" s="11" t="s">
        <v>65</v>
      </c>
      <c r="G22" s="16"/>
    </row>
    <row r="23" spans="1:8" ht="15" customHeight="1" x14ac:dyDescent="0.25">
      <c r="A23" s="11">
        <f t="shared" ref="A23" si="8">A21+1</f>
        <v>11</v>
      </c>
      <c r="B23" s="21" t="str">
        <f t="shared" si="1"/>
        <v>Fri</v>
      </c>
      <c r="C23" s="19">
        <f t="shared" si="2"/>
        <v>46339</v>
      </c>
      <c r="D23" s="39"/>
      <c r="E23" s="6" t="s">
        <v>25</v>
      </c>
      <c r="F23" s="11"/>
      <c r="G23" s="15"/>
    </row>
    <row r="24" spans="1:8" ht="30" x14ac:dyDescent="0.25">
      <c r="A24" s="11"/>
      <c r="B24" s="21" t="str">
        <f t="shared" si="1"/>
        <v>Tue</v>
      </c>
      <c r="C24" s="19">
        <f t="shared" si="2"/>
        <v>46343</v>
      </c>
      <c r="D24" s="35" t="s">
        <v>58</v>
      </c>
      <c r="E24" s="6" t="s">
        <v>26</v>
      </c>
      <c r="F24" s="28"/>
      <c r="G24" s="15"/>
    </row>
    <row r="25" spans="1:8" x14ac:dyDescent="0.25">
      <c r="A25" s="11">
        <f t="shared" ref="A25" si="9">A23+1</f>
        <v>12</v>
      </c>
      <c r="B25" s="21" t="str">
        <f t="shared" si="1"/>
        <v>Fri</v>
      </c>
      <c r="C25" s="19">
        <f t="shared" si="2"/>
        <v>46346</v>
      </c>
      <c r="D25" s="33" t="s">
        <v>50</v>
      </c>
      <c r="E25" s="6" t="s">
        <v>27</v>
      </c>
      <c r="F25" s="11" t="s">
        <v>68</v>
      </c>
      <c r="G25" s="16"/>
    </row>
    <row r="26" spans="1:8" x14ac:dyDescent="0.25">
      <c r="A26" s="11"/>
      <c r="B26" s="21" t="str">
        <f t="shared" si="1"/>
        <v>Tue</v>
      </c>
      <c r="C26" s="19">
        <f t="shared" si="2"/>
        <v>46350</v>
      </c>
      <c r="D26" s="36" t="s">
        <v>40</v>
      </c>
      <c r="E26" s="6" t="s">
        <v>28</v>
      </c>
      <c r="F26" s="11" t="s">
        <v>67</v>
      </c>
      <c r="G26" s="16"/>
    </row>
    <row r="27" spans="1:8" x14ac:dyDescent="0.25">
      <c r="A27" s="11"/>
      <c r="B27" s="21" t="str">
        <f t="shared" si="1"/>
        <v>Fri</v>
      </c>
      <c r="C27" s="19">
        <f t="shared" si="2"/>
        <v>46353</v>
      </c>
      <c r="D27" s="38" t="s">
        <v>38</v>
      </c>
      <c r="E27" s="10"/>
      <c r="F27" s="11"/>
      <c r="G27" s="15"/>
    </row>
    <row r="28" spans="1:8" x14ac:dyDescent="0.25">
      <c r="A28" s="11">
        <f>A25+1</f>
        <v>13</v>
      </c>
      <c r="B28" s="21" t="str">
        <f t="shared" si="1"/>
        <v>Tue</v>
      </c>
      <c r="C28" s="19">
        <f t="shared" si="2"/>
        <v>46357</v>
      </c>
      <c r="D28" s="37" t="s">
        <v>35</v>
      </c>
      <c r="E28" s="6" t="s">
        <v>29</v>
      </c>
      <c r="F28" s="11"/>
      <c r="G28" s="10"/>
    </row>
    <row r="29" spans="1:8" s="14" customFormat="1" x14ac:dyDescent="0.25">
      <c r="A29" s="24"/>
      <c r="B29" s="22" t="str">
        <f t="shared" si="1"/>
        <v>Fri</v>
      </c>
      <c r="C29" s="20">
        <f t="shared" si="2"/>
        <v>46360</v>
      </c>
      <c r="D29" s="33" t="s">
        <v>60</v>
      </c>
      <c r="E29" s="13" t="s">
        <v>30</v>
      </c>
      <c r="F29" s="30" t="s">
        <v>69</v>
      </c>
      <c r="G29" s="10"/>
      <c r="H29"/>
    </row>
    <row r="30" spans="1:8" x14ac:dyDescent="0.25">
      <c r="A30" s="11">
        <f t="shared" ref="A30" si="10">A28+1</f>
        <v>14</v>
      </c>
      <c r="B30" s="21" t="str">
        <f t="shared" si="1"/>
        <v>Tue</v>
      </c>
      <c r="C30" s="19">
        <f t="shared" si="2"/>
        <v>46364</v>
      </c>
      <c r="D30" s="35" t="s">
        <v>59</v>
      </c>
      <c r="E30" s="6" t="s">
        <v>31</v>
      </c>
      <c r="F30" s="24"/>
      <c r="G30" s="10"/>
    </row>
    <row r="31" spans="1:8" x14ac:dyDescent="0.25">
      <c r="A31" s="11"/>
      <c r="B31" s="21" t="str">
        <f t="shared" si="1"/>
        <v>Fri</v>
      </c>
      <c r="C31" s="19">
        <f t="shared" si="2"/>
        <v>46367</v>
      </c>
      <c r="D31" s="33" t="s">
        <v>60</v>
      </c>
      <c r="E31" s="6" t="s">
        <v>32</v>
      </c>
      <c r="F31" s="40" t="s">
        <v>70</v>
      </c>
      <c r="G31" s="16"/>
    </row>
    <row r="32" spans="1:8" ht="38.25" x14ac:dyDescent="0.25">
      <c r="A32" s="11"/>
      <c r="B32" s="21" t="s">
        <v>36</v>
      </c>
      <c r="C32" s="29" t="s">
        <v>39</v>
      </c>
      <c r="D32" s="37" t="s">
        <v>61</v>
      </c>
      <c r="E32" s="6"/>
      <c r="F32" s="11" t="s">
        <v>71</v>
      </c>
      <c r="G32" s="15"/>
    </row>
    <row r="33" spans="4:7" x14ac:dyDescent="0.25">
      <c r="F33" s="7"/>
      <c r="G33" s="12"/>
    </row>
    <row r="35" spans="4:7" x14ac:dyDescent="0.25">
      <c r="D35"/>
    </row>
  </sheetData>
  <mergeCells count="6">
    <mergeCell ref="D2:D4"/>
    <mergeCell ref="D5:D6"/>
    <mergeCell ref="D8:D9"/>
    <mergeCell ref="D10:D12"/>
    <mergeCell ref="D22:D23"/>
    <mergeCell ref="D17:D19"/>
  </mergeCells>
  <phoneticPr fontId="7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2026-08-10T15:40:53Z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