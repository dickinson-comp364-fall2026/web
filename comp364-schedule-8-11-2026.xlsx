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2BA681B0-13C5-4BA8-B9AE-1B4710C7A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1" i="2" l="1"/>
  <c r="A23" i="2" s="1"/>
  <c r="A25" i="2" s="1"/>
  <c r="A27" i="2" s="1"/>
  <c r="A30" i="2" s="1"/>
  <c r="A32" i="2" s="1"/>
  <c r="A4" i="2"/>
  <c r="A6" i="2" s="1"/>
  <c r="A8" i="2" s="1"/>
  <c r="A11" i="2" s="1"/>
  <c r="A13" i="2" s="1"/>
  <c r="A15" i="2" s="1"/>
  <c r="C4" i="2"/>
  <c r="C6" i="2" s="1"/>
  <c r="C8" i="2" s="1"/>
  <c r="C11" i="2" s="1"/>
  <c r="C13" i="2" s="1"/>
  <c r="C15" i="2" s="1"/>
  <c r="C17" i="2" s="1"/>
  <c r="C19" i="2" s="1"/>
  <c r="C22" i="2" s="1"/>
  <c r="C24" i="2" s="1"/>
  <c r="C26" i="2" s="1"/>
  <c r="C28" i="2" s="1"/>
  <c r="C30" i="2" s="1"/>
  <c r="C32" i="2" s="1"/>
  <c r="B5" i="2"/>
  <c r="B7" i="2" s="1"/>
  <c r="B9" i="2" s="1"/>
  <c r="B12" i="2" s="1"/>
  <c r="B14" i="2" s="1"/>
  <c r="B16" i="2" s="1"/>
  <c r="B18" i="2" s="1"/>
  <c r="B21" i="2" s="1"/>
  <c r="B23" i="2" s="1"/>
  <c r="B25" i="2" s="1"/>
  <c r="B27" i="2" s="1"/>
  <c r="B29" i="2" s="1"/>
  <c r="B31" i="2" s="1"/>
  <c r="B33" i="2" s="1"/>
  <c r="B4" i="2"/>
  <c r="B6" i="2" s="1"/>
  <c r="B8" i="2" s="1"/>
  <c r="B11" i="2" s="1"/>
  <c r="B13" i="2" s="1"/>
  <c r="B15" i="2" s="1"/>
  <c r="B17" i="2" s="1"/>
  <c r="B19" i="2" s="1"/>
  <c r="B22" i="2" s="1"/>
  <c r="B24" i="2" s="1"/>
  <c r="B26" i="2" s="1"/>
  <c r="B28" i="2" s="1"/>
  <c r="B30" i="2" s="1"/>
  <c r="B32" i="2" s="1"/>
  <c r="C3" i="2"/>
  <c r="C5" i="2" s="1"/>
  <c r="C7" i="2" s="1"/>
  <c r="C9" i="2" s="1"/>
  <c r="C12" i="2" s="1"/>
  <c r="C14" i="2" s="1"/>
  <c r="C16" i="2" s="1"/>
  <c r="C18" i="2" s="1"/>
  <c r="C21" i="2" s="1"/>
  <c r="C23" i="2" s="1"/>
  <c r="C25" i="2" s="1"/>
  <c r="C27" i="2" s="1"/>
  <c r="C29" i="2" s="1"/>
  <c r="C31" i="2" s="1"/>
  <c r="C33" i="2" s="1"/>
</calcChain>
</file>

<file path=xl/sharedStrings.xml><?xml version="1.0" encoding="utf-8"?>
<sst xmlns="http://schemas.openxmlformats.org/spreadsheetml/2006/main" count="95" uniqueCount="92">
  <si>
    <t>Class number</t>
  </si>
  <si>
    <t>Day</t>
  </si>
  <si>
    <t>Date</t>
  </si>
  <si>
    <t>Tue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</si>
  <si>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</si>
  <si>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</si>
  <si>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</si>
  <si>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</si>
  <si>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</si>
  <si>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</si>
  <si>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</si>
  <si>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</si>
  <si>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</si>
  <si>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</si>
  <si>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</si>
  <si>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</si>
  <si>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</si>
  <si>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</si>
  <si>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</si>
  <si>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</si>
  <si>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</si>
  <si>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</si>
  <si>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</si>
  <si>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</si>
  <si>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</si>
  <si>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</si>
  <si>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</si>
  <si>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</si>
  <si>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</si>
  <si>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</si>
  <si>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</si>
  <si>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</si>
  <si>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</si>
  <si>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</si>
  <si>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</si>
  <si>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</si>
  <si>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</si>
  <si>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</si>
  <si>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</si>
  <si>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</si>
  <si>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</si>
  <si>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</si>
  <si>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</si>
  <si>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</si>
  <si>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</si>
  <si>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</si>
  <si>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</si>
  <si>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</si>
  <si>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</si>
  <si>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</si>
  <si>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</si>
  <si>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</si>
  <si>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</si>
  <si>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</si>
  <si>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</si>
  <si>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</si>
  <si>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</si>
  <si>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</si>
  <si>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</si>
  <si>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</si>
  <si>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</si>
  <si>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</si>
  <si>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</si>
  <si>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</si>
  <si>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</si>
  <si>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</si>
  <si>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</si>
  <si>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</si>
  <si>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</si>
  <si>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</si>
  <si>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</si>
  <si>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</si>
  <si>
    <t>Sat</t>
  </si>
  <si>
    <t>optional field trip: PAX1 data center drive-by, 10am-12noon, Sat 9/26</t>
  </si>
  <si>
    <t>Johnson (2024), Suleyman interview</t>
  </si>
  <si>
    <t>Turing (1950)</t>
  </si>
  <si>
    <t>Thinking AI, Ch 1</t>
  </si>
  <si>
    <t>Thinking AI, Ch 2</t>
  </si>
  <si>
    <t>Thinking AI, Ch 3</t>
  </si>
  <si>
    <t>Thinking AI, Ch 4</t>
  </si>
  <si>
    <t>Thinking AI, Ch 5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</si>
  <si>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</si>
  <si>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</si>
  <si>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</si>
  <si>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</si>
  <si>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</si>
  <si>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</si>
  <si>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</si>
  <si>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</si>
  <si>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</si>
  <si>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</si>
  <si>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Clarke Forum sustainability event: "An Evening with Dr. Ayana Elizabeth Johnson" on 10/27 at 7:00 pm in 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</si>
</sst>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7"/>
  <sheetViews>
    <sheetView tabSelected="1" zoomScale="150" zoomScaleNormal="150" zoomScalePageLayoutView="60" workbookViewId="0">
      <pane ySplit="1" topLeftCell="A7" activePane="bottomLeft" state="frozen"/>
      <selection pane="bottomLeft" activeCell="G13" sqref="G13"/>
    </sheetView>
  </sheetViews>
  <sheetFormatPr defaultRowHeight="15" x14ac:dyDescent="0.25"/>
  <cols>
    <col min="1" max="1" width="6.140625" style="8" customWidth="1"/>
    <col min="2" max="2" width="5.140625" style="18" customWidth="1"/>
    <col min="3" max="3" width="6.42578125" style="13" customWidth="1"/>
    <col min="4" max="4" width="21.28515625" style="7" customWidth="1"/>
    <col min="5" max="5" width="7.5703125" style="8" customWidth="1"/>
    <col min="6" max="6" width="11.7109375" style="8" customWidth="1"/>
    <col min="7" max="7" width="34.7109375" style="45" customWidth="1"/>
    <col min="8" max="8" width="37.85546875" customWidth="1"/>
  </cols>
  <sheetData>
    <row r="1" spans="1:8" s="6" customFormat="1" ht="30" x14ac:dyDescent="0.25">
      <c r="A1" s="2" t="s">
        <v>33</v>
      </c>
      <c r="B1" s="3" t="s">
        <v>1</v>
      </c>
      <c r="C1" s="4" t="s">
        <v>2</v>
      </c>
      <c r="D1" s="28" t="s">
        <v>4</v>
      </c>
      <c r="E1" s="1" t="s">
        <v>0</v>
      </c>
      <c r="F1" s="20" t="s">
        <v>54</v>
      </c>
      <c r="G1" s="39" t="s">
        <v>43</v>
      </c>
      <c r="H1"/>
    </row>
    <row r="2" spans="1:8" x14ac:dyDescent="0.25">
      <c r="A2" s="10">
        <v>1</v>
      </c>
      <c r="B2" s="16" t="s">
        <v>3</v>
      </c>
      <c r="C2" s="14">
        <v>46266</v>
      </c>
      <c r="D2" s="34" t="s">
        <v>49</v>
      </c>
      <c r="E2" s="5" t="s">
        <v>5</v>
      </c>
      <c r="F2" s="10"/>
      <c r="G2" s="40" t="s">
        <v>76</v>
      </c>
    </row>
    <row r="3" spans="1:8" x14ac:dyDescent="0.25">
      <c r="A3" s="10"/>
      <c r="B3" s="16" t="s">
        <v>36</v>
      </c>
      <c r="C3" s="14">
        <f>C2+3</f>
        <v>46269</v>
      </c>
      <c r="D3" s="34"/>
      <c r="E3" s="5" t="s">
        <v>6</v>
      </c>
      <c r="F3" s="10"/>
      <c r="G3" s="40" t="s">
        <v>77</v>
      </c>
    </row>
    <row r="4" spans="1:8" x14ac:dyDescent="0.25">
      <c r="A4" s="10">
        <f>A2+1</f>
        <v>2</v>
      </c>
      <c r="B4" s="16" t="str">
        <f>B2</f>
        <v>Tue</v>
      </c>
      <c r="C4" s="14">
        <f>C2+7</f>
        <v>46273</v>
      </c>
      <c r="D4" s="34"/>
      <c r="E4" s="5" t="s">
        <v>7</v>
      </c>
      <c r="F4" s="10"/>
      <c r="G4" s="40" t="s">
        <v>78</v>
      </c>
    </row>
    <row r="5" spans="1:8" ht="20.25" customHeight="1" x14ac:dyDescent="0.25">
      <c r="A5" s="10"/>
      <c r="B5" s="16" t="str">
        <f>B3</f>
        <v>Fri</v>
      </c>
      <c r="C5" s="14">
        <f>C3+7</f>
        <v>46276</v>
      </c>
      <c r="D5" s="34" t="s">
        <v>47</v>
      </c>
      <c r="E5" s="5" t="s">
        <v>8</v>
      </c>
      <c r="F5" s="10" t="s">
        <v>55</v>
      </c>
      <c r="G5" s="40" t="s">
        <v>79</v>
      </c>
    </row>
    <row r="6" spans="1:8" ht="21" customHeight="1" x14ac:dyDescent="0.25">
      <c r="A6" s="10">
        <f t="shared" ref="A6" si="0">A4+1</f>
        <v>3</v>
      </c>
      <c r="B6" s="16" t="str">
        <f t="shared" ref="B6:B33" si="1">B4</f>
        <v>Tue</v>
      </c>
      <c r="C6" s="14">
        <f t="shared" ref="C6:C33" si="2">C4+7</f>
        <v>46280</v>
      </c>
      <c r="D6" s="34"/>
      <c r="E6" s="5" t="s">
        <v>9</v>
      </c>
      <c r="F6" s="10" t="s">
        <v>44</v>
      </c>
      <c r="G6" s="41"/>
    </row>
    <row r="7" spans="1:8" ht="30" x14ac:dyDescent="0.25">
      <c r="A7" s="10"/>
      <c r="B7" s="16" t="str">
        <f t="shared" si="1"/>
        <v>Fri</v>
      </c>
      <c r="C7" s="14">
        <f t="shared" si="2"/>
        <v>46283</v>
      </c>
      <c r="D7" s="29" t="s">
        <v>53</v>
      </c>
      <c r="E7" s="5" t="s">
        <v>10</v>
      </c>
      <c r="F7" s="10"/>
      <c r="G7" s="40" t="s">
        <v>75</v>
      </c>
    </row>
    <row r="8" spans="1:8" ht="15" customHeight="1" x14ac:dyDescent="0.25">
      <c r="A8" s="10">
        <f t="shared" ref="A8" si="3">A6+1</f>
        <v>4</v>
      </c>
      <c r="B8" s="16" t="str">
        <f t="shared" si="1"/>
        <v>Tue</v>
      </c>
      <c r="C8" s="14">
        <f t="shared" si="2"/>
        <v>46287</v>
      </c>
      <c r="D8" s="34" t="s">
        <v>48</v>
      </c>
      <c r="E8" s="5" t="s">
        <v>11</v>
      </c>
      <c r="F8" s="10" t="s">
        <v>56</v>
      </c>
      <c r="G8" s="42"/>
    </row>
    <row r="9" spans="1:8" x14ac:dyDescent="0.25">
      <c r="A9" s="10"/>
      <c r="B9" s="16" t="str">
        <f t="shared" si="1"/>
        <v>Fri</v>
      </c>
      <c r="C9" s="14">
        <f t="shared" si="2"/>
        <v>46290</v>
      </c>
      <c r="D9" s="34"/>
      <c r="E9" s="5" t="s">
        <v>12</v>
      </c>
      <c r="F9" s="10" t="s">
        <v>45</v>
      </c>
      <c r="G9" s="40" t="s">
        <v>80</v>
      </c>
    </row>
    <row r="10" spans="1:8" ht="33" customHeight="1" x14ac:dyDescent="0.25">
      <c r="A10" s="10"/>
      <c r="B10" s="16" t="s">
        <v>72</v>
      </c>
      <c r="C10" s="14">
        <v>46291</v>
      </c>
      <c r="D10" s="35" t="s">
        <v>62</v>
      </c>
      <c r="E10" s="38" t="s">
        <v>73</v>
      </c>
      <c r="F10" s="38"/>
      <c r="G10" s="38"/>
    </row>
    <row r="11" spans="1:8" ht="15" customHeight="1" x14ac:dyDescent="0.25">
      <c r="A11" s="10">
        <f t="shared" ref="A11" si="4">A8+1</f>
        <v>5</v>
      </c>
      <c r="B11" s="16" t="str">
        <f>B8</f>
        <v>Tue</v>
      </c>
      <c r="C11" s="14">
        <f>C8+7</f>
        <v>46294</v>
      </c>
      <c r="D11" s="36"/>
      <c r="E11" s="5" t="s">
        <v>13</v>
      </c>
      <c r="F11" s="10"/>
      <c r="G11" s="42" t="s">
        <v>74</v>
      </c>
    </row>
    <row r="12" spans="1:8" x14ac:dyDescent="0.25">
      <c r="A12" s="10"/>
      <c r="B12" s="16" t="str">
        <f>B9</f>
        <v>Fri</v>
      </c>
      <c r="C12" s="14">
        <f>C9+7</f>
        <v>46297</v>
      </c>
      <c r="D12" s="36"/>
      <c r="E12" s="5" t="s">
        <v>14</v>
      </c>
      <c r="F12" s="10" t="s">
        <v>57</v>
      </c>
      <c r="G12" s="40" t="s">
        <v>81</v>
      </c>
    </row>
    <row r="13" spans="1:8" ht="38.25" customHeight="1" x14ac:dyDescent="0.25">
      <c r="A13" s="10">
        <f t="shared" ref="A13" si="5">A11+1</f>
        <v>6</v>
      </c>
      <c r="B13" s="16" t="str">
        <f t="shared" si="1"/>
        <v>Tue</v>
      </c>
      <c r="C13" s="14">
        <f t="shared" si="2"/>
        <v>46301</v>
      </c>
      <c r="D13" s="37"/>
      <c r="E13" s="5" t="s">
        <v>15</v>
      </c>
      <c r="F13" s="25" t="s">
        <v>63</v>
      </c>
      <c r="G13" s="40"/>
    </row>
    <row r="14" spans="1:8" x14ac:dyDescent="0.25">
      <c r="A14" s="10"/>
      <c r="B14" s="16" t="str">
        <f t="shared" si="1"/>
        <v>Fri</v>
      </c>
      <c r="C14" s="14">
        <f t="shared" si="2"/>
        <v>46304</v>
      </c>
      <c r="D14" s="30" t="s">
        <v>40</v>
      </c>
      <c r="E14" s="5" t="s">
        <v>16</v>
      </c>
      <c r="F14" s="10" t="s">
        <v>46</v>
      </c>
      <c r="G14" s="40"/>
    </row>
    <row r="15" spans="1:8" x14ac:dyDescent="0.25">
      <c r="A15" s="10">
        <f t="shared" ref="A15" si="6">A13+1</f>
        <v>7</v>
      </c>
      <c r="B15" s="16" t="str">
        <f t="shared" si="1"/>
        <v>Tue</v>
      </c>
      <c r="C15" s="14">
        <f t="shared" si="2"/>
        <v>46308</v>
      </c>
      <c r="D15" s="31" t="s">
        <v>34</v>
      </c>
      <c r="E15" s="5" t="s">
        <v>17</v>
      </c>
      <c r="F15" s="10"/>
      <c r="G15" s="41"/>
    </row>
    <row r="16" spans="1:8" x14ac:dyDescent="0.25">
      <c r="A16" s="10"/>
      <c r="B16" s="16" t="str">
        <f t="shared" si="1"/>
        <v>Fri</v>
      </c>
      <c r="C16" s="14">
        <f t="shared" si="2"/>
        <v>46311</v>
      </c>
      <c r="D16" s="29" t="s">
        <v>51</v>
      </c>
      <c r="E16" s="5" t="s">
        <v>18</v>
      </c>
      <c r="F16" s="10"/>
      <c r="G16" s="40" t="s">
        <v>82</v>
      </c>
    </row>
    <row r="17" spans="1:8" x14ac:dyDescent="0.25">
      <c r="A17" s="10"/>
      <c r="B17" s="16" t="str">
        <f t="shared" si="1"/>
        <v>Tue</v>
      </c>
      <c r="C17" s="14">
        <f t="shared" si="2"/>
        <v>46315</v>
      </c>
      <c r="D17" s="32" t="s">
        <v>37</v>
      </c>
      <c r="E17" s="9"/>
      <c r="F17" s="21"/>
      <c r="G17" s="40"/>
    </row>
    <row r="18" spans="1:8" ht="15" customHeight="1" x14ac:dyDescent="0.25">
      <c r="A18" s="10">
        <v>8</v>
      </c>
      <c r="B18" s="16" t="str">
        <f t="shared" si="1"/>
        <v>Fri</v>
      </c>
      <c r="C18" s="14">
        <f t="shared" si="2"/>
        <v>46318</v>
      </c>
      <c r="D18" s="34" t="s">
        <v>41</v>
      </c>
      <c r="E18" s="5" t="s">
        <v>19</v>
      </c>
      <c r="F18" s="10"/>
      <c r="G18" s="41"/>
    </row>
    <row r="19" spans="1:8" x14ac:dyDescent="0.25">
      <c r="A19" s="10"/>
      <c r="B19" s="46" t="str">
        <f>B17</f>
        <v>Tue</v>
      </c>
      <c r="C19" s="48">
        <f>C17+7</f>
        <v>46322</v>
      </c>
      <c r="D19" s="34"/>
      <c r="E19" s="5" t="s">
        <v>20</v>
      </c>
      <c r="F19" s="10"/>
      <c r="G19" s="40" t="s">
        <v>83</v>
      </c>
    </row>
    <row r="20" spans="1:8" ht="31.5" customHeight="1" x14ac:dyDescent="0.25">
      <c r="A20" s="10"/>
      <c r="B20" s="47"/>
      <c r="C20" s="49"/>
      <c r="D20" s="34"/>
      <c r="E20" s="38" t="s">
        <v>91</v>
      </c>
      <c r="F20" s="38"/>
      <c r="G20" s="38"/>
    </row>
    <row r="21" spans="1:8" x14ac:dyDescent="0.25">
      <c r="A21" s="10">
        <f>A18+1</f>
        <v>9</v>
      </c>
      <c r="B21" s="16" t="str">
        <f>B18</f>
        <v>Fri</v>
      </c>
      <c r="C21" s="14">
        <f>C18+7</f>
        <v>46325</v>
      </c>
      <c r="D21" s="34"/>
      <c r="E21" s="5" t="s">
        <v>21</v>
      </c>
      <c r="F21" s="10"/>
      <c r="G21" s="40" t="s">
        <v>84</v>
      </c>
    </row>
    <row r="22" spans="1:8" x14ac:dyDescent="0.25">
      <c r="A22" s="10"/>
      <c r="B22" s="16" t="str">
        <f>B19</f>
        <v>Tue</v>
      </c>
      <c r="C22" s="14">
        <f>C19+7</f>
        <v>46329</v>
      </c>
      <c r="D22" s="29" t="s">
        <v>52</v>
      </c>
      <c r="E22" s="5" t="s">
        <v>22</v>
      </c>
      <c r="F22" s="26"/>
      <c r="G22" s="40" t="s">
        <v>85</v>
      </c>
    </row>
    <row r="23" spans="1:8" ht="30" x14ac:dyDescent="0.25">
      <c r="A23" s="10">
        <f t="shared" ref="A23" si="7">A21+1</f>
        <v>10</v>
      </c>
      <c r="B23" s="16" t="str">
        <f t="shared" si="1"/>
        <v>Fri</v>
      </c>
      <c r="C23" s="14">
        <f t="shared" si="2"/>
        <v>46332</v>
      </c>
      <c r="D23" s="27" t="s">
        <v>42</v>
      </c>
      <c r="E23" s="5" t="s">
        <v>23</v>
      </c>
      <c r="F23" s="10" t="s">
        <v>64</v>
      </c>
      <c r="G23" s="40"/>
    </row>
    <row r="24" spans="1:8" x14ac:dyDescent="0.25">
      <c r="A24" s="10"/>
      <c r="B24" s="16" t="str">
        <f t="shared" si="1"/>
        <v>Tue</v>
      </c>
      <c r="C24" s="14">
        <f t="shared" si="2"/>
        <v>46336</v>
      </c>
      <c r="D24" s="34" t="s">
        <v>66</v>
      </c>
      <c r="E24" s="5" t="s">
        <v>24</v>
      </c>
      <c r="F24" s="10" t="s">
        <v>65</v>
      </c>
      <c r="G24" s="41"/>
    </row>
    <row r="25" spans="1:8" ht="15" customHeight="1" x14ac:dyDescent="0.25">
      <c r="A25" s="10">
        <f t="shared" ref="A25" si="8">A23+1</f>
        <v>11</v>
      </c>
      <c r="B25" s="16" t="str">
        <f t="shared" si="1"/>
        <v>Fri</v>
      </c>
      <c r="C25" s="14">
        <f t="shared" si="2"/>
        <v>46339</v>
      </c>
      <c r="D25" s="34"/>
      <c r="E25" s="5" t="s">
        <v>25</v>
      </c>
      <c r="F25" s="10"/>
      <c r="G25" s="40" t="s">
        <v>86</v>
      </c>
    </row>
    <row r="26" spans="1:8" ht="30" x14ac:dyDescent="0.25">
      <c r="A26" s="10"/>
      <c r="B26" s="16" t="str">
        <f t="shared" si="1"/>
        <v>Tue</v>
      </c>
      <c r="C26" s="14">
        <f t="shared" si="2"/>
        <v>46343</v>
      </c>
      <c r="D26" s="29" t="s">
        <v>58</v>
      </c>
      <c r="E26" s="5" t="s">
        <v>26</v>
      </c>
      <c r="F26" s="22"/>
      <c r="G26" s="40" t="s">
        <v>90</v>
      </c>
    </row>
    <row r="27" spans="1:8" x14ac:dyDescent="0.25">
      <c r="A27" s="10">
        <f t="shared" ref="A27" si="9">A25+1</f>
        <v>12</v>
      </c>
      <c r="B27" s="16" t="str">
        <f t="shared" si="1"/>
        <v>Fri</v>
      </c>
      <c r="C27" s="14">
        <f t="shared" si="2"/>
        <v>46346</v>
      </c>
      <c r="D27" s="27" t="s">
        <v>50</v>
      </c>
      <c r="E27" s="5" t="s">
        <v>27</v>
      </c>
      <c r="F27" s="10" t="s">
        <v>68</v>
      </c>
      <c r="G27" s="41"/>
    </row>
    <row r="28" spans="1:8" x14ac:dyDescent="0.25">
      <c r="A28" s="10"/>
      <c r="B28" s="16" t="str">
        <f t="shared" si="1"/>
        <v>Tue</v>
      </c>
      <c r="C28" s="14">
        <f t="shared" si="2"/>
        <v>46350</v>
      </c>
      <c r="D28" s="30" t="s">
        <v>40</v>
      </c>
      <c r="E28" s="5" t="s">
        <v>28</v>
      </c>
      <c r="F28" s="10" t="s">
        <v>67</v>
      </c>
      <c r="G28" s="40" t="s">
        <v>87</v>
      </c>
    </row>
    <row r="29" spans="1:8" x14ac:dyDescent="0.25">
      <c r="A29" s="10"/>
      <c r="B29" s="16" t="str">
        <f t="shared" si="1"/>
        <v>Fri</v>
      </c>
      <c r="C29" s="14">
        <f t="shared" si="2"/>
        <v>46353</v>
      </c>
      <c r="D29" s="32" t="s">
        <v>38</v>
      </c>
      <c r="E29" s="9"/>
      <c r="F29" s="10"/>
      <c r="G29" s="40"/>
    </row>
    <row r="30" spans="1:8" x14ac:dyDescent="0.25">
      <c r="A30" s="10">
        <f>A27+1</f>
        <v>13</v>
      </c>
      <c r="B30" s="16" t="str">
        <f t="shared" si="1"/>
        <v>Tue</v>
      </c>
      <c r="C30" s="14">
        <f t="shared" si="2"/>
        <v>46357</v>
      </c>
      <c r="D30" s="31" t="s">
        <v>35</v>
      </c>
      <c r="E30" s="5" t="s">
        <v>29</v>
      </c>
      <c r="F30" s="10"/>
      <c r="G30" s="43"/>
    </row>
    <row r="31" spans="1:8" s="12" customFormat="1" x14ac:dyDescent="0.25">
      <c r="A31" s="19"/>
      <c r="B31" s="17" t="str">
        <f t="shared" si="1"/>
        <v>Fri</v>
      </c>
      <c r="C31" s="15">
        <f t="shared" si="2"/>
        <v>46360</v>
      </c>
      <c r="D31" s="27" t="s">
        <v>60</v>
      </c>
      <c r="E31" s="11" t="s">
        <v>30</v>
      </c>
      <c r="F31" s="24" t="s">
        <v>69</v>
      </c>
      <c r="G31" s="40" t="s">
        <v>88</v>
      </c>
      <c r="H31"/>
    </row>
    <row r="32" spans="1:8" x14ac:dyDescent="0.25">
      <c r="A32" s="10">
        <f t="shared" ref="A32" si="10">A30+1</f>
        <v>14</v>
      </c>
      <c r="B32" s="16" t="str">
        <f t="shared" si="1"/>
        <v>Tue</v>
      </c>
      <c r="C32" s="14">
        <f t="shared" si="2"/>
        <v>46364</v>
      </c>
      <c r="D32" s="29" t="s">
        <v>59</v>
      </c>
      <c r="E32" s="5" t="s">
        <v>31</v>
      </c>
      <c r="F32" s="19"/>
      <c r="G32" s="40" t="s">
        <v>89</v>
      </c>
    </row>
    <row r="33" spans="1:7" x14ac:dyDescent="0.25">
      <c r="A33" s="10"/>
      <c r="B33" s="16" t="str">
        <f t="shared" si="1"/>
        <v>Fri</v>
      </c>
      <c r="C33" s="14">
        <f t="shared" si="2"/>
        <v>46367</v>
      </c>
      <c r="D33" s="27" t="s">
        <v>60</v>
      </c>
      <c r="E33" s="5" t="s">
        <v>32</v>
      </c>
      <c r="F33" s="33" t="s">
        <v>70</v>
      </c>
      <c r="G33" s="41"/>
    </row>
    <row r="34" spans="1:7" ht="38.25" x14ac:dyDescent="0.25">
      <c r="A34" s="10"/>
      <c r="B34" s="16" t="s">
        <v>36</v>
      </c>
      <c r="C34" s="23" t="s">
        <v>39</v>
      </c>
      <c r="D34" s="31" t="s">
        <v>61</v>
      </c>
      <c r="E34" s="5"/>
      <c r="F34" s="10" t="s">
        <v>71</v>
      </c>
      <c r="G34" s="40"/>
    </row>
    <row r="35" spans="1:7" x14ac:dyDescent="0.25">
      <c r="F35" s="6"/>
      <c r="G35" s="44"/>
    </row>
    <row r="37" spans="1:7" x14ac:dyDescent="0.25">
      <c r="D37"/>
    </row>
  </sheetData>
  <mergeCells count="10">
    <mergeCell ref="E10:G10"/>
    <mergeCell ref="D10:D13"/>
    <mergeCell ref="E20:G20"/>
    <mergeCell ref="B19:B20"/>
    <mergeCell ref="C19:C20"/>
    <mergeCell ref="D2:D4"/>
    <mergeCell ref="D5:D6"/>
    <mergeCell ref="D8:D9"/>
    <mergeCell ref="D24:D25"/>
    <mergeCell ref="D18:D21"/>
  </mergeCells>
  <phoneticPr fontId="6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2026-08-11T16:33:18Z</dcterms:modified>
  <cp:contentStatus/>
</cp:coreProperties>
</file>